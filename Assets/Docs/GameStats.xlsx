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priteOrder" sheetId="1" state="visible" r:id="rId3"/>
    <sheet name="Enemies" sheetId="2" state="visible" r:id="rId4"/>
    <sheet name="PlayerWeap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<sst xmlns="http://schemas.openxmlformats.org/spreadsheetml/2006/main" count="269" uniqueCount="65">
  <si>
    <t xml:space="preserve">Object</t>
  </si>
  <si>
    <t xml:space="preserve">Order</t>
  </si>
  <si>
    <t xml:space="preserve">Layer</t>
  </si>
  <si>
    <t xml:space="preserve">Explosion</t>
  </si>
  <si>
    <t xml:space="preserve">Default</t>
  </si>
  <si>
    <t xml:space="preserve">Projectile</t>
  </si>
  <si>
    <t xml:space="preserve">ID</t>
  </si>
  <si>
    <t xml:space="preserve">Name</t>
  </si>
  <si>
    <t xml:space="preserve">BaseHP</t>
  </si>
  <si>
    <t xml:space="preserve">Value</t>
  </si>
  <si>
    <t xml:space="preserve">Total Value inclusive fleet</t>
  </si>
  <si>
    <t xml:space="preserve">Tactic</t>
  </si>
  <si>
    <t xml:space="preserve">Speed</t>
  </si>
  <si>
    <t xml:space="preserve">HP per Level</t>
  </si>
  <si>
    <t xml:space="preserve">Fleet</t>
  </si>
  <si>
    <t xml:space="preserve">Weapons</t>
  </si>
  <si>
    <t xml:space="preserve">Factory</t>
  </si>
  <si>
    <t xml:space="preserve">Amount</t>
  </si>
  <si>
    <t xml:space="preserve">Type</t>
  </si>
  <si>
    <t xml:space="preserve">Cost Per Ship</t>
  </si>
  <si>
    <t xml:space="preserve">Damage</t>
  </si>
  <si>
    <t xml:space="preserve">FireSpeed</t>
  </si>
  <si>
    <t xml:space="preserve">Target</t>
  </si>
  <si>
    <t xml:space="preserve">Range</t>
  </si>
  <si>
    <t xml:space="preserve">Produces</t>
  </si>
  <si>
    <t xml:space="preserve">Time in s</t>
  </si>
  <si>
    <t xml:space="preserve">Up To</t>
  </si>
  <si>
    <t xml:space="preserve">Cannon Turret</t>
  </si>
  <si>
    <t xml:space="preserve">Stay</t>
  </si>
  <si>
    <t xml:space="preserve">None</t>
  </si>
  <si>
    <t xml:space="preserve">Small Cannon</t>
  </si>
  <si>
    <t xml:space="preserve">Medium</t>
  </si>
  <si>
    <t xml:space="preserve">Nearest</t>
  </si>
  <si>
    <t xml:space="preserve">Scout</t>
  </si>
  <si>
    <t xml:space="preserve">Fast</t>
  </si>
  <si>
    <t xml:space="preserve"> -</t>
  </si>
  <si>
    <t xml:space="preserve">- </t>
  </si>
  <si>
    <t xml:space="preserve">-</t>
  </si>
  <si>
    <t xml:space="preserve"> - </t>
  </si>
  <si>
    <t xml:space="preserve">Escort</t>
  </si>
  <si>
    <t xml:space="preserve">Patrol</t>
  </si>
  <si>
    <t xml:space="preserve">Medium Cannon</t>
  </si>
  <si>
    <t xml:space="preserve">Slow</t>
  </si>
  <si>
    <t xml:space="preserve">Player</t>
  </si>
  <si>
    <t xml:space="preserve">Cruiser</t>
  </si>
  <si>
    <t xml:space="preserve">Missile Turret</t>
  </si>
  <si>
    <t xml:space="preserve">Missile</t>
  </si>
  <si>
    <t xml:space="preserve">Battle Cruiser</t>
  </si>
  <si>
    <t xml:space="preserve">Patrol  </t>
  </si>
  <si>
    <t xml:space="preserve">Large Cannon</t>
  </si>
  <si>
    <t xml:space="preserve">Space Station</t>
  </si>
  <si>
    <t xml:space="preserve">Defence</t>
  </si>
  <si>
    <t xml:space="preserve">Battle Ship</t>
  </si>
  <si>
    <t xml:space="preserve">Space Fortress</t>
  </si>
  <si>
    <t xml:space="preserve">BattleCruiser</t>
  </si>
  <si>
    <t xml:space="preserve">Main Cannon</t>
  </si>
  <si>
    <t xml:space="preserve">Defence Cannon</t>
  </si>
  <si>
    <t xml:space="preserve">Attack Drone</t>
  </si>
  <si>
    <t xml:space="preserve">Level</t>
  </si>
  <si>
    <t xml:space="preserve">5.5</t>
  </si>
  <si>
    <t xml:space="preserve">6.5</t>
  </si>
  <si>
    <t xml:space="preserve">Armor</t>
  </si>
  <si>
    <t xml:space="preserve">Reload Speed</t>
  </si>
  <si>
    <t xml:space="preserve">4.5</t>
  </si>
  <si>
    <t xml:space="preserve">3.5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</si>
</sst>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DDDDD"/>
        <bgColor rgb="FFCCFFC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customHeight="true" zeroHeight="false" outlineLevelRow="0" outlineLevelCol="0"/>
  <sheetData>
    <row r="5" customFormat="false" ht="15" hidden="false" customHeight="true" outlineLevel="0" collapsed="false">
      <c r="B5" s="1" t="s">
        <v>0</v>
      </c>
      <c r="C5" s="1" t="s">
        <v>1</v>
      </c>
      <c r="D5" s="1" t="s">
        <v>2</v>
      </c>
    </row>
    <row r="6" customFormat="false" ht="15" hidden="false" customHeight="false" outlineLevel="0" collapsed="false">
      <c r="B6" s="1" t="s">
        <v>3</v>
      </c>
      <c r="C6" s="1" t="n">
        <v>100</v>
      </c>
      <c r="D6" s="1" t="s">
        <v>4</v>
      </c>
    </row>
    <row r="7" customFormat="false" ht="15" hidden="false" customHeight="false" outlineLevel="0" collapsed="false">
      <c r="B7" s="1" t="s">
        <v>5</v>
      </c>
      <c r="C7" s="1" t="n">
        <v>90</v>
      </c>
      <c r="D7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26" activeCellId="0" sqref="C2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3.15"/>
    <col collapsed="false" customWidth="true" hidden="false" outlineLevel="0" max="2" min="2" style="2" width="4.77"/>
    <col collapsed="false" customWidth="true" hidden="false" outlineLevel="0" max="3" min="3" style="2" width="14.41"/>
    <col collapsed="false" customWidth="true" hidden="false" outlineLevel="0" max="4" min="4" style="2" width="8.34"/>
    <col collapsed="false" customWidth="true" hidden="false" outlineLevel="0" max="5" min="5" style="2" width="7.8"/>
    <col collapsed="false" customWidth="true" hidden="false" outlineLevel="0" max="7" min="6" style="2" width="14.2"/>
    <col collapsed="false" customWidth="true" hidden="false" outlineLevel="0" max="8" min="8" style="2" width="10.19"/>
    <col collapsed="false" customWidth="true" hidden="false" outlineLevel="0" max="9" min="9" style="2" width="8.45"/>
    <col collapsed="false" customWidth="true" hidden="false" outlineLevel="0" max="10" min="10" style="2" width="20.38"/>
    <col collapsed="false" customWidth="true" hidden="false" outlineLevel="0" max="13" min="11" style="2" width="15.29"/>
    <col collapsed="false" customWidth="false" hidden="false" outlineLevel="0" max="16384" min="14" style="2" width="11.53"/>
  </cols>
  <sheetData>
    <row r="1" customFormat="false" ht="13.8" hidden="false" customHeight="true" outlineLevel="0" collapsed="false">
      <c r="B1" s="3" t="s">
        <v>6</v>
      </c>
      <c r="C1" s="4" t="s">
        <v>7</v>
      </c>
      <c r="D1" s="5" t="s">
        <v>8</v>
      </c>
      <c r="E1" s="5" t="s">
        <v>9</v>
      </c>
      <c r="F1" s="6" t="s">
        <v>10</v>
      </c>
      <c r="G1" s="5" t="s">
        <v>11</v>
      </c>
      <c r="H1" s="5" t="s">
        <v>12</v>
      </c>
      <c r="I1" s="6" t="s">
        <v>13</v>
      </c>
      <c r="J1" s="7" t="s">
        <v>14</v>
      </c>
      <c r="K1" s="7"/>
      <c r="L1" s="7"/>
      <c r="M1" s="7" t="s">
        <v>15</v>
      </c>
      <c r="N1" s="7"/>
      <c r="O1" s="7"/>
      <c r="P1" s="7"/>
      <c r="Q1" s="7"/>
      <c r="R1" s="8" t="s">
        <v>16</v>
      </c>
      <c r="S1" s="8"/>
      <c r="T1" s="8"/>
      <c r="U1" s="9"/>
    </row>
    <row r="2" customFormat="false" ht="13.8" hidden="false" customHeight="false" outlineLevel="0" collapsed="false">
      <c r="B2" s="3"/>
      <c r="C2" s="4"/>
      <c r="D2" s="5"/>
      <c r="E2" s="5"/>
      <c r="F2" s="5"/>
      <c r="G2" s="5"/>
      <c r="H2" s="5"/>
      <c r="I2" s="6"/>
      <c r="J2" s="10" t="s">
        <v>17</v>
      </c>
      <c r="K2" s="11" t="s">
        <v>18</v>
      </c>
      <c r="L2" s="11" t="s">
        <v>19</v>
      </c>
      <c r="M2" s="12" t="s">
        <v>7</v>
      </c>
      <c r="N2" s="13" t="s">
        <v>20</v>
      </c>
      <c r="O2" s="13" t="s">
        <v>21</v>
      </c>
      <c r="P2" s="13" t="s">
        <v>22</v>
      </c>
      <c r="Q2" s="11" t="s">
        <v>23</v>
      </c>
      <c r="R2" s="14" t="s">
        <v>24</v>
      </c>
      <c r="S2" s="15" t="s">
        <v>25</v>
      </c>
      <c r="T2" s="15" t="s">
        <v>26</v>
      </c>
      <c r="U2" s="16" t="s">
        <v>11</v>
      </c>
    </row>
    <row r="3" customFormat="false" ht="13.8" hidden="false" customHeight="false" outlineLevel="0" collapsed="false">
      <c r="B3" s="17" t="n">
        <v>1</v>
      </c>
      <c r="C3" s="18" t="s">
        <v>27</v>
      </c>
      <c r="D3" s="19" t="n">
        <v>25</v>
      </c>
      <c r="E3" s="18" t="n">
        <v>2</v>
      </c>
      <c r="F3" s="20" t="n">
        <f aca="false">E3+J3*L3</f>
        <v>11</v>
      </c>
      <c r="G3" s="18" t="s">
        <v>28</v>
      </c>
      <c r="H3" s="17" t="s">
        <v>29</v>
      </c>
      <c r="I3" s="21" t="n">
        <v>5</v>
      </c>
      <c r="J3" s="22" t="n">
        <v>3</v>
      </c>
      <c r="K3" s="22" t="str">
        <f aca="false">C6</f>
        <v>Escort</v>
      </c>
      <c r="L3" s="22" t="n">
        <f aca="false">E6</f>
        <v>3</v>
      </c>
      <c r="M3" s="23" t="s">
        <v>30</v>
      </c>
      <c r="N3" s="24" t="n">
        <v>1</v>
      </c>
      <c r="O3" s="24" t="s">
        <v>31</v>
      </c>
      <c r="P3" s="24" t="s">
        <v>32</v>
      </c>
      <c r="Q3" s="25" t="n">
        <v>6</v>
      </c>
      <c r="R3" s="23" t="s">
        <v>33</v>
      </c>
      <c r="S3" s="24" t="n">
        <v>30</v>
      </c>
      <c r="T3" s="24" t="n">
        <v>3</v>
      </c>
      <c r="U3" s="25" t="s">
        <v>33</v>
      </c>
    </row>
    <row r="4" customFormat="false" ht="13.8" hidden="false" customHeight="false" outlineLevel="0" collapsed="false">
      <c r="B4" s="17"/>
      <c r="C4" s="18"/>
      <c r="D4" s="19"/>
      <c r="E4" s="18"/>
      <c r="F4" s="20"/>
      <c r="G4" s="18"/>
      <c r="H4" s="17"/>
      <c r="I4" s="21"/>
      <c r="J4" s="22"/>
      <c r="K4" s="22"/>
      <c r="L4" s="22"/>
      <c r="M4" s="26" t="s">
        <v>30</v>
      </c>
      <c r="N4" s="27" t="n">
        <v>1</v>
      </c>
      <c r="O4" s="27" t="s">
        <v>31</v>
      </c>
      <c r="P4" s="27" t="s">
        <v>32</v>
      </c>
      <c r="Q4" s="28" t="n">
        <v>6</v>
      </c>
      <c r="R4" s="26"/>
      <c r="S4" s="27"/>
      <c r="T4" s="27"/>
      <c r="U4" s="28"/>
    </row>
    <row r="5" customFormat="false" ht="13.8" hidden="false" customHeight="false" outlineLevel="0" collapsed="false">
      <c r="B5" s="29" t="n">
        <v>2</v>
      </c>
      <c r="C5" s="30" t="s">
        <v>33</v>
      </c>
      <c r="D5" s="31" t="n">
        <v>20</v>
      </c>
      <c r="E5" s="30" t="n">
        <v>2</v>
      </c>
      <c r="F5" s="31" t="n">
        <v>2</v>
      </c>
      <c r="G5" s="30" t="s">
        <v>33</v>
      </c>
      <c r="H5" s="31" t="s">
        <v>34</v>
      </c>
      <c r="I5" s="32" t="n">
        <v>5</v>
      </c>
      <c r="J5" s="29" t="s">
        <v>35</v>
      </c>
      <c r="K5" s="29" t="s">
        <v>35</v>
      </c>
      <c r="L5" s="29" t="s">
        <v>35</v>
      </c>
      <c r="M5" s="33" t="s">
        <v>30</v>
      </c>
      <c r="N5" s="30" t="n">
        <v>1</v>
      </c>
      <c r="O5" s="30" t="s">
        <v>31</v>
      </c>
      <c r="P5" s="30" t="s">
        <v>32</v>
      </c>
      <c r="Q5" s="32" t="n">
        <v>6</v>
      </c>
      <c r="R5" s="34" t="s">
        <v>36</v>
      </c>
      <c r="S5" s="35" t="s">
        <v>37</v>
      </c>
      <c r="T5" s="35" t="s">
        <v>37</v>
      </c>
      <c r="U5" s="36" t="s">
        <v>38</v>
      </c>
    </row>
    <row r="6" customFormat="false" ht="13.8" hidden="false" customHeight="false" outlineLevel="0" collapsed="false">
      <c r="B6" s="29" t="n">
        <v>3</v>
      </c>
      <c r="C6" s="30" t="s">
        <v>39</v>
      </c>
      <c r="D6" s="31" t="n">
        <v>40</v>
      </c>
      <c r="E6" s="30" t="n">
        <v>3</v>
      </c>
      <c r="F6" s="31" t="n">
        <v>3</v>
      </c>
      <c r="G6" s="30" t="s">
        <v>40</v>
      </c>
      <c r="H6" s="31" t="s">
        <v>31</v>
      </c>
      <c r="I6" s="32" t="n">
        <v>10</v>
      </c>
      <c r="J6" s="29" t="s">
        <v>35</v>
      </c>
      <c r="K6" s="29" t="s">
        <v>38</v>
      </c>
      <c r="L6" s="29" t="s">
        <v>35</v>
      </c>
      <c r="M6" s="30" t="s">
        <v>41</v>
      </c>
      <c r="N6" s="30" t="n">
        <v>3</v>
      </c>
      <c r="O6" s="30" t="s">
        <v>42</v>
      </c>
      <c r="P6" s="30" t="s">
        <v>43</v>
      </c>
      <c r="Q6" s="32" t="n">
        <v>7</v>
      </c>
      <c r="R6" s="33" t="s">
        <v>38</v>
      </c>
      <c r="S6" s="30" t="s">
        <v>35</v>
      </c>
      <c r="T6" s="30" t="s">
        <v>35</v>
      </c>
      <c r="U6" s="32" t="s">
        <v>38</v>
      </c>
    </row>
    <row r="7" customFormat="false" ht="13.8" hidden="false" customHeight="false" outlineLevel="0" collapsed="false">
      <c r="B7" s="17" t="n">
        <v>4</v>
      </c>
      <c r="C7" s="18" t="s">
        <v>44</v>
      </c>
      <c r="D7" s="19" t="n">
        <v>80</v>
      </c>
      <c r="E7" s="18" t="n">
        <v>8</v>
      </c>
      <c r="F7" s="37" t="n">
        <f aca="false">E7+J7*L7</f>
        <v>14</v>
      </c>
      <c r="G7" s="18" t="s">
        <v>40</v>
      </c>
      <c r="H7" s="19" t="s">
        <v>31</v>
      </c>
      <c r="I7" s="21" t="n">
        <v>15</v>
      </c>
      <c r="J7" s="22" t="n">
        <v>2</v>
      </c>
      <c r="K7" s="22" t="str">
        <f aca="false">C6</f>
        <v>Escort</v>
      </c>
      <c r="L7" s="22" t="n">
        <f aca="false">E6</f>
        <v>3</v>
      </c>
      <c r="M7" s="30" t="s">
        <v>41</v>
      </c>
      <c r="N7" s="30" t="n">
        <v>3</v>
      </c>
      <c r="O7" s="30" t="s">
        <v>42</v>
      </c>
      <c r="P7" s="30" t="s">
        <v>43</v>
      </c>
      <c r="Q7" s="32" t="n">
        <v>7</v>
      </c>
      <c r="R7" s="34" t="s">
        <v>38</v>
      </c>
      <c r="S7" s="35" t="s">
        <v>35</v>
      </c>
      <c r="T7" s="35" t="s">
        <v>35</v>
      </c>
      <c r="U7" s="36" t="s">
        <v>38</v>
      </c>
    </row>
    <row r="8" customFormat="false" ht="13.8" hidden="false" customHeight="false" outlineLevel="0" collapsed="false">
      <c r="B8" s="17"/>
      <c r="C8" s="18"/>
      <c r="D8" s="19"/>
      <c r="E8" s="18"/>
      <c r="F8" s="37"/>
      <c r="G8" s="18"/>
      <c r="H8" s="19"/>
      <c r="I8" s="21"/>
      <c r="J8" s="22"/>
      <c r="K8" s="22"/>
      <c r="L8" s="22"/>
      <c r="M8" s="33" t="s">
        <v>30</v>
      </c>
      <c r="N8" s="30" t="n">
        <v>1</v>
      </c>
      <c r="O8" s="30" t="s">
        <v>31</v>
      </c>
      <c r="P8" s="30" t="s">
        <v>32</v>
      </c>
      <c r="Q8" s="32" t="n">
        <v>3</v>
      </c>
      <c r="R8" s="33" t="s">
        <v>38</v>
      </c>
      <c r="S8" s="30" t="s">
        <v>35</v>
      </c>
      <c r="T8" s="30" t="s">
        <v>35</v>
      </c>
      <c r="U8" s="32" t="s">
        <v>38</v>
      </c>
    </row>
    <row r="9" customFormat="false" ht="13.8" hidden="false" customHeight="false" outlineLevel="0" collapsed="false">
      <c r="B9" s="29" t="n">
        <v>5</v>
      </c>
      <c r="C9" s="30" t="s">
        <v>45</v>
      </c>
      <c r="D9" s="31" t="n">
        <v>50</v>
      </c>
      <c r="E9" s="30" t="n">
        <v>5</v>
      </c>
      <c r="F9" s="31" t="n">
        <f aca="false">E9+J9*L9</f>
        <v>17</v>
      </c>
      <c r="G9" s="30" t="s">
        <v>28</v>
      </c>
      <c r="H9" s="31" t="s">
        <v>29</v>
      </c>
      <c r="I9" s="30" t="n">
        <v>10</v>
      </c>
      <c r="J9" s="29" t="n">
        <v>4</v>
      </c>
      <c r="K9" s="29" t="str">
        <f aca="false">C6</f>
        <v>Escort</v>
      </c>
      <c r="L9" s="29" t="n">
        <f aca="false">F6</f>
        <v>3</v>
      </c>
      <c r="M9" s="30" t="s">
        <v>46</v>
      </c>
      <c r="N9" s="30" t="n">
        <v>5</v>
      </c>
      <c r="O9" s="30" t="s">
        <v>42</v>
      </c>
      <c r="P9" s="30" t="s">
        <v>43</v>
      </c>
      <c r="Q9" s="32" t="n">
        <v>10</v>
      </c>
      <c r="R9" s="33" t="s">
        <v>33</v>
      </c>
      <c r="S9" s="30" t="n">
        <v>20</v>
      </c>
      <c r="T9" s="30" t="n">
        <v>3</v>
      </c>
      <c r="U9" s="32" t="s">
        <v>33</v>
      </c>
    </row>
    <row r="10" customFormat="false" ht="13.8" hidden="false" customHeight="false" outlineLevel="0" collapsed="false">
      <c r="B10" s="17" t="n">
        <v>6</v>
      </c>
      <c r="C10" s="38" t="s">
        <v>47</v>
      </c>
      <c r="D10" s="17" t="n">
        <v>125</v>
      </c>
      <c r="E10" s="39" t="n">
        <v>10</v>
      </c>
      <c r="F10" s="17" t="n">
        <f aca="false">J11*L11+J10*L10+E10</f>
        <v>30</v>
      </c>
      <c r="G10" s="39" t="s">
        <v>48</v>
      </c>
      <c r="H10" s="17" t="s">
        <v>42</v>
      </c>
      <c r="I10" s="21"/>
      <c r="J10" s="40" t="n">
        <v>4</v>
      </c>
      <c r="K10" s="40" t="str">
        <f aca="false">C6</f>
        <v>Escort</v>
      </c>
      <c r="L10" s="40" t="n">
        <f aca="false">E6</f>
        <v>3</v>
      </c>
      <c r="M10" s="24" t="s">
        <v>49</v>
      </c>
      <c r="N10" s="24" t="n">
        <v>5</v>
      </c>
      <c r="O10" s="24" t="s">
        <v>31</v>
      </c>
      <c r="P10" s="24" t="s">
        <v>43</v>
      </c>
      <c r="Q10" s="25" t="n">
        <v>6</v>
      </c>
      <c r="R10" s="38" t="s">
        <v>33</v>
      </c>
      <c r="S10" s="39" t="n">
        <v>10</v>
      </c>
      <c r="T10" s="39" t="n">
        <v>10</v>
      </c>
      <c r="U10" s="41" t="s">
        <v>33</v>
      </c>
    </row>
    <row r="11" customFormat="false" ht="13.8" hidden="false" customHeight="false" outlineLevel="0" collapsed="false">
      <c r="B11" s="17"/>
      <c r="C11" s="38"/>
      <c r="D11" s="17"/>
      <c r="E11" s="39"/>
      <c r="F11" s="17"/>
      <c r="G11" s="39"/>
      <c r="H11" s="17"/>
      <c r="I11" s="21"/>
      <c r="J11" s="42" t="n">
        <v>1</v>
      </c>
      <c r="K11" s="42" t="str">
        <f aca="false">C7</f>
        <v>Cruiser</v>
      </c>
      <c r="L11" s="42" t="n">
        <f aca="false">E7</f>
        <v>8</v>
      </c>
      <c r="M11" s="35" t="s">
        <v>41</v>
      </c>
      <c r="N11" s="35" t="n">
        <v>3</v>
      </c>
      <c r="O11" s="43" t="s">
        <v>31</v>
      </c>
      <c r="P11" s="35" t="s">
        <v>43</v>
      </c>
      <c r="Q11" s="36" t="n">
        <v>4</v>
      </c>
      <c r="R11" s="38"/>
      <c r="S11" s="39"/>
      <c r="T11" s="39"/>
      <c r="U11" s="41"/>
    </row>
    <row r="12" customFormat="false" ht="13.8" hidden="false" customHeight="false" outlineLevel="0" collapsed="false">
      <c r="B12" s="17"/>
      <c r="C12" s="38"/>
      <c r="D12" s="17"/>
      <c r="E12" s="39"/>
      <c r="F12" s="17"/>
      <c r="G12" s="39"/>
      <c r="H12" s="17"/>
      <c r="I12" s="21"/>
      <c r="J12" s="42" t="s">
        <v>35</v>
      </c>
      <c r="K12" s="42" t="s">
        <v>35</v>
      </c>
      <c r="L12" s="42" t="s">
        <v>35</v>
      </c>
      <c r="M12" s="35" t="s">
        <v>41</v>
      </c>
      <c r="N12" s="35" t="n">
        <v>3</v>
      </c>
      <c r="O12" s="43" t="s">
        <v>31</v>
      </c>
      <c r="P12" s="35" t="s">
        <v>43</v>
      </c>
      <c r="Q12" s="36" t="n">
        <v>4</v>
      </c>
      <c r="R12" s="38"/>
      <c r="S12" s="39"/>
      <c r="T12" s="39"/>
      <c r="U12" s="41"/>
    </row>
    <row r="13" customFormat="false" ht="13.8" hidden="false" customHeight="false" outlineLevel="0" collapsed="false">
      <c r="B13" s="17"/>
      <c r="C13" s="38"/>
      <c r="D13" s="17"/>
      <c r="E13" s="39"/>
      <c r="F13" s="17"/>
      <c r="G13" s="39"/>
      <c r="H13" s="17"/>
      <c r="I13" s="21"/>
      <c r="J13" s="44" t="s">
        <v>35</v>
      </c>
      <c r="K13" s="44" t="s">
        <v>35</v>
      </c>
      <c r="L13" s="44" t="s">
        <v>35</v>
      </c>
      <c r="M13" s="27" t="s">
        <v>30</v>
      </c>
      <c r="N13" s="27" t="n">
        <v>1</v>
      </c>
      <c r="O13" s="27" t="s">
        <v>31</v>
      </c>
      <c r="P13" s="27" t="s">
        <v>32</v>
      </c>
      <c r="Q13" s="28" t="n">
        <v>2</v>
      </c>
      <c r="R13" s="38"/>
      <c r="S13" s="39"/>
      <c r="T13" s="39"/>
      <c r="U13" s="41"/>
    </row>
    <row r="14" customFormat="false" ht="13.8" hidden="false" customHeight="false" outlineLevel="0" collapsed="false">
      <c r="B14" s="17" t="n">
        <v>7</v>
      </c>
      <c r="C14" s="38" t="s">
        <v>50</v>
      </c>
      <c r="D14" s="17" t="n">
        <v>300</v>
      </c>
      <c r="E14" s="39" t="n">
        <v>20</v>
      </c>
      <c r="F14" s="17" t="n">
        <f aca="false">J14*L14+J15*L15+E14</f>
        <v>74</v>
      </c>
      <c r="G14" s="39" t="s">
        <v>28</v>
      </c>
      <c r="H14" s="17" t="s">
        <v>29</v>
      </c>
      <c r="I14" s="21" t="n">
        <v>20</v>
      </c>
      <c r="J14" s="40" t="n">
        <v>10</v>
      </c>
      <c r="K14" s="40" t="str">
        <f aca="false">C6</f>
        <v>Escort</v>
      </c>
      <c r="L14" s="40" t="n">
        <f aca="false">E6</f>
        <v>3</v>
      </c>
      <c r="M14" s="23" t="s">
        <v>49</v>
      </c>
      <c r="N14" s="24" t="n">
        <v>5</v>
      </c>
      <c r="O14" s="24" t="s">
        <v>31</v>
      </c>
      <c r="P14" s="24" t="s">
        <v>43</v>
      </c>
      <c r="Q14" s="25" t="n">
        <v>6</v>
      </c>
      <c r="R14" s="23" t="s">
        <v>33</v>
      </c>
      <c r="S14" s="24" t="n">
        <v>20</v>
      </c>
      <c r="T14" s="24" t="n">
        <v>3</v>
      </c>
      <c r="U14" s="25" t="s">
        <v>33</v>
      </c>
    </row>
    <row r="15" customFormat="false" ht="13.8" hidden="false" customHeight="false" outlineLevel="0" collapsed="false">
      <c r="B15" s="17"/>
      <c r="C15" s="17"/>
      <c r="D15" s="17"/>
      <c r="E15" s="39"/>
      <c r="F15" s="17"/>
      <c r="G15" s="39"/>
      <c r="H15" s="17"/>
      <c r="I15" s="21"/>
      <c r="J15" s="42" t="n">
        <v>3</v>
      </c>
      <c r="K15" s="42" t="str">
        <f aca="false">C7</f>
        <v>Cruiser</v>
      </c>
      <c r="L15" s="42" t="n">
        <f aca="false">E7</f>
        <v>8</v>
      </c>
      <c r="M15" s="34" t="s">
        <v>49</v>
      </c>
      <c r="N15" s="35" t="n">
        <v>5</v>
      </c>
      <c r="O15" s="35" t="s">
        <v>31</v>
      </c>
      <c r="P15" s="35" t="s">
        <v>43</v>
      </c>
      <c r="Q15" s="36" t="n">
        <v>6</v>
      </c>
      <c r="R15" s="34" t="s">
        <v>39</v>
      </c>
      <c r="S15" s="43" t="n">
        <v>30</v>
      </c>
      <c r="T15" s="35" t="n">
        <v>5</v>
      </c>
      <c r="U15" s="36" t="s">
        <v>51</v>
      </c>
    </row>
    <row r="16" customFormat="false" ht="13.8" hidden="false" customHeight="false" outlineLevel="0" collapsed="false">
      <c r="B16" s="17"/>
      <c r="C16" s="17"/>
      <c r="D16" s="17"/>
      <c r="E16" s="39"/>
      <c r="F16" s="17"/>
      <c r="G16" s="39"/>
      <c r="H16" s="17"/>
      <c r="I16" s="21"/>
      <c r="J16" s="42" t="s">
        <v>35</v>
      </c>
      <c r="K16" s="42" t="s">
        <v>38</v>
      </c>
      <c r="L16" s="42" t="s">
        <v>38</v>
      </c>
      <c r="M16" s="34" t="s">
        <v>41</v>
      </c>
      <c r="N16" s="35" t="n">
        <v>3</v>
      </c>
      <c r="O16" s="43" t="s">
        <v>31</v>
      </c>
      <c r="P16" s="35" t="s">
        <v>43</v>
      </c>
      <c r="Q16" s="36" t="n">
        <v>4</v>
      </c>
      <c r="R16" s="34"/>
      <c r="S16" s="43"/>
      <c r="T16" s="35"/>
      <c r="U16" s="36"/>
    </row>
    <row r="17" customFormat="false" ht="13.8" hidden="false" customHeight="false" outlineLevel="0" collapsed="false">
      <c r="B17" s="17"/>
      <c r="C17" s="17"/>
      <c r="D17" s="17"/>
      <c r="E17" s="39"/>
      <c r="F17" s="17"/>
      <c r="G17" s="39"/>
      <c r="H17" s="17"/>
      <c r="I17" s="21"/>
      <c r="J17" s="42" t="s">
        <v>38</v>
      </c>
      <c r="K17" s="42" t="s">
        <v>38</v>
      </c>
      <c r="L17" s="42" t="s">
        <v>38</v>
      </c>
      <c r="M17" s="34" t="s">
        <v>41</v>
      </c>
      <c r="N17" s="35" t="n">
        <v>3</v>
      </c>
      <c r="O17" s="43" t="s">
        <v>31</v>
      </c>
      <c r="P17" s="35" t="s">
        <v>43</v>
      </c>
      <c r="Q17" s="36" t="n">
        <v>4</v>
      </c>
      <c r="R17" s="34"/>
      <c r="S17" s="43"/>
      <c r="T17" s="35"/>
      <c r="U17" s="36"/>
    </row>
    <row r="18" customFormat="false" ht="13.8" hidden="false" customHeight="false" outlineLevel="0" collapsed="false">
      <c r="B18" s="17"/>
      <c r="C18" s="17"/>
      <c r="D18" s="17"/>
      <c r="E18" s="39"/>
      <c r="F18" s="17"/>
      <c r="G18" s="39"/>
      <c r="H18" s="17"/>
      <c r="I18" s="21"/>
      <c r="J18" s="42" t="s">
        <v>38</v>
      </c>
      <c r="K18" s="42" t="s">
        <v>38</v>
      </c>
      <c r="L18" s="42" t="s">
        <v>38</v>
      </c>
      <c r="M18" s="34" t="s">
        <v>30</v>
      </c>
      <c r="N18" s="35" t="n">
        <v>1</v>
      </c>
      <c r="O18" s="35" t="s">
        <v>31</v>
      </c>
      <c r="P18" s="35" t="s">
        <v>32</v>
      </c>
      <c r="Q18" s="36" t="n">
        <v>2</v>
      </c>
      <c r="R18" s="34"/>
      <c r="S18" s="43"/>
      <c r="T18" s="35"/>
      <c r="U18" s="36"/>
    </row>
    <row r="19" customFormat="false" ht="13.8" hidden="false" customHeight="false" outlineLevel="0" collapsed="false">
      <c r="B19" s="17"/>
      <c r="C19" s="17"/>
      <c r="D19" s="17"/>
      <c r="E19" s="39"/>
      <c r="F19" s="17"/>
      <c r="G19" s="39"/>
      <c r="H19" s="17"/>
      <c r="I19" s="21"/>
      <c r="J19" s="44" t="s">
        <v>38</v>
      </c>
      <c r="K19" s="44" t="s">
        <v>38</v>
      </c>
      <c r="L19" s="44" t="s">
        <v>38</v>
      </c>
      <c r="M19" s="26" t="s">
        <v>30</v>
      </c>
      <c r="N19" s="27" t="n">
        <v>1</v>
      </c>
      <c r="O19" s="27" t="s">
        <v>31</v>
      </c>
      <c r="P19" s="27" t="s">
        <v>32</v>
      </c>
      <c r="Q19" s="28" t="n">
        <v>2</v>
      </c>
      <c r="R19" s="26"/>
      <c r="S19" s="27"/>
      <c r="T19" s="27"/>
      <c r="U19" s="28"/>
    </row>
    <row r="20" customFormat="false" ht="13.8" hidden="false" customHeight="false" outlineLevel="0" collapsed="false">
      <c r="B20" s="17" t="n">
        <v>8</v>
      </c>
      <c r="C20" s="38" t="s">
        <v>52</v>
      </c>
      <c r="D20" s="17" t="n">
        <v>300</v>
      </c>
      <c r="E20" s="39" t="n">
        <v>40</v>
      </c>
      <c r="F20" s="17" t="n">
        <f aca="false">E20+J20*L20+J21*L21+L22*J22</f>
        <v>106</v>
      </c>
      <c r="G20" s="39" t="s">
        <v>40</v>
      </c>
      <c r="H20" s="17" t="s">
        <v>42</v>
      </c>
      <c r="I20" s="21" t="n">
        <v>20</v>
      </c>
      <c r="J20" s="40" t="n">
        <v>10</v>
      </c>
      <c r="K20" s="40" t="str">
        <f aca="false">C6</f>
        <v>Escort</v>
      </c>
      <c r="L20" s="40" t="n">
        <f aca="false">E6</f>
        <v>3</v>
      </c>
      <c r="M20" s="23" t="s">
        <v>49</v>
      </c>
      <c r="N20" s="24" t="n">
        <v>5</v>
      </c>
      <c r="O20" s="24" t="s">
        <v>31</v>
      </c>
      <c r="P20" s="24" t="s">
        <v>43</v>
      </c>
      <c r="Q20" s="25" t="n">
        <v>6</v>
      </c>
      <c r="R20" s="23" t="s">
        <v>33</v>
      </c>
      <c r="S20" s="24" t="n">
        <v>20</v>
      </c>
      <c r="T20" s="24" t="n">
        <v>3</v>
      </c>
      <c r="U20" s="25" t="s">
        <v>33</v>
      </c>
    </row>
    <row r="21" customFormat="false" ht="13.8" hidden="false" customHeight="false" outlineLevel="0" collapsed="false">
      <c r="B21" s="17"/>
      <c r="C21" s="17"/>
      <c r="D21" s="17"/>
      <c r="E21" s="39"/>
      <c r="F21" s="17"/>
      <c r="G21" s="39"/>
      <c r="H21" s="17"/>
      <c r="I21" s="21"/>
      <c r="J21" s="42" t="n">
        <v>2</v>
      </c>
      <c r="K21" s="42" t="str">
        <f aca="false">C7</f>
        <v>Cruiser</v>
      </c>
      <c r="L21" s="42" t="n">
        <f aca="false">E7</f>
        <v>8</v>
      </c>
      <c r="M21" s="34" t="s">
        <v>49</v>
      </c>
      <c r="N21" s="35" t="n">
        <v>5</v>
      </c>
      <c r="O21" s="35" t="s">
        <v>31</v>
      </c>
      <c r="P21" s="35" t="s">
        <v>43</v>
      </c>
      <c r="Q21" s="36" t="n">
        <v>6</v>
      </c>
      <c r="R21" s="34" t="s">
        <v>39</v>
      </c>
      <c r="S21" s="43" t="n">
        <v>30</v>
      </c>
      <c r="T21" s="35" t="n">
        <v>5</v>
      </c>
      <c r="U21" s="36" t="s">
        <v>51</v>
      </c>
    </row>
    <row r="22" customFormat="false" ht="13.8" hidden="false" customHeight="false" outlineLevel="0" collapsed="false">
      <c r="B22" s="17"/>
      <c r="C22" s="17"/>
      <c r="D22" s="17"/>
      <c r="E22" s="39"/>
      <c r="F22" s="17"/>
      <c r="G22" s="39"/>
      <c r="H22" s="17"/>
      <c r="I22" s="21"/>
      <c r="J22" s="45" t="n">
        <v>2</v>
      </c>
      <c r="K22" s="43" t="str">
        <f aca="false">C10</f>
        <v>Battle Cruiser</v>
      </c>
      <c r="L22" s="45" t="n">
        <f aca="false">E10</f>
        <v>10</v>
      </c>
      <c r="M22" s="34" t="s">
        <v>41</v>
      </c>
      <c r="N22" s="35" t="n">
        <v>3</v>
      </c>
      <c r="O22" s="43" t="s">
        <v>31</v>
      </c>
      <c r="P22" s="35" t="s">
        <v>43</v>
      </c>
      <c r="Q22" s="36" t="n">
        <v>4</v>
      </c>
      <c r="R22" s="34" t="s">
        <v>44</v>
      </c>
      <c r="S22" s="43" t="n">
        <v>30</v>
      </c>
      <c r="T22" s="43" t="n">
        <v>2</v>
      </c>
      <c r="U22" s="36" t="s">
        <v>51</v>
      </c>
    </row>
    <row r="23" customFormat="false" ht="13.8" hidden="false" customHeight="false" outlineLevel="0" collapsed="false">
      <c r="B23" s="17"/>
      <c r="C23" s="17"/>
      <c r="D23" s="17"/>
      <c r="E23" s="39"/>
      <c r="F23" s="17"/>
      <c r="G23" s="39"/>
      <c r="H23" s="17"/>
      <c r="I23" s="21"/>
      <c r="J23" s="45" t="s">
        <v>35</v>
      </c>
      <c r="K23" s="43" t="s">
        <v>35</v>
      </c>
      <c r="L23" s="45" t="s">
        <v>35</v>
      </c>
      <c r="M23" s="34" t="s">
        <v>41</v>
      </c>
      <c r="N23" s="35" t="n">
        <v>3</v>
      </c>
      <c r="O23" s="43" t="s">
        <v>31</v>
      </c>
      <c r="P23" s="35" t="s">
        <v>43</v>
      </c>
      <c r="Q23" s="36" t="n">
        <v>4</v>
      </c>
      <c r="R23" s="34"/>
      <c r="S23" s="43"/>
      <c r="T23" s="43"/>
      <c r="U23" s="36"/>
    </row>
    <row r="24" customFormat="false" ht="13.8" hidden="false" customHeight="false" outlineLevel="0" collapsed="false">
      <c r="B24" s="17"/>
      <c r="C24" s="17"/>
      <c r="D24" s="17"/>
      <c r="E24" s="39"/>
      <c r="F24" s="17"/>
      <c r="G24" s="39"/>
      <c r="H24" s="17"/>
      <c r="I24" s="21"/>
      <c r="J24" s="45" t="s">
        <v>35</v>
      </c>
      <c r="K24" s="43" t="s">
        <v>35</v>
      </c>
      <c r="L24" s="45" t="s">
        <v>35</v>
      </c>
      <c r="M24" s="34" t="s">
        <v>30</v>
      </c>
      <c r="N24" s="35" t="n">
        <v>1</v>
      </c>
      <c r="O24" s="35" t="s">
        <v>31</v>
      </c>
      <c r="P24" s="35" t="s">
        <v>32</v>
      </c>
      <c r="Q24" s="36" t="n">
        <v>2</v>
      </c>
      <c r="R24" s="34"/>
      <c r="S24" s="43"/>
      <c r="T24" s="43"/>
      <c r="U24" s="36"/>
    </row>
    <row r="25" customFormat="false" ht="13.8" hidden="false" customHeight="false" outlineLevel="0" collapsed="false">
      <c r="B25" s="17"/>
      <c r="C25" s="17"/>
      <c r="D25" s="17"/>
      <c r="E25" s="39"/>
      <c r="F25" s="17"/>
      <c r="G25" s="39"/>
      <c r="H25" s="17"/>
      <c r="I25" s="21"/>
      <c r="J25" s="44" t="s">
        <v>35</v>
      </c>
      <c r="K25" s="27" t="s">
        <v>35</v>
      </c>
      <c r="L25" s="44" t="s">
        <v>35</v>
      </c>
      <c r="M25" s="26" t="s">
        <v>30</v>
      </c>
      <c r="N25" s="27" t="n">
        <v>1</v>
      </c>
      <c r="O25" s="27" t="s">
        <v>31</v>
      </c>
      <c r="P25" s="27" t="s">
        <v>32</v>
      </c>
      <c r="Q25" s="28" t="n">
        <v>2</v>
      </c>
      <c r="R25" s="26"/>
      <c r="S25" s="27"/>
      <c r="T25" s="27"/>
      <c r="U25" s="28"/>
    </row>
    <row r="26" customFormat="false" ht="13.8" hidden="false" customHeight="false" outlineLevel="0" collapsed="false">
      <c r="B26" s="17" t="n">
        <v>9</v>
      </c>
      <c r="C26" s="38" t="s">
        <v>53</v>
      </c>
      <c r="D26" s="17" t="n">
        <v>500</v>
      </c>
      <c r="E26" s="39" t="n">
        <v>50</v>
      </c>
      <c r="F26" s="17" t="n">
        <f aca="false">E26+J26*L26+J27*L27+J28*L28+J29*L29+J30*L30</f>
        <v>137</v>
      </c>
      <c r="G26" s="39" t="s">
        <v>28</v>
      </c>
      <c r="H26" s="17" t="s">
        <v>29</v>
      </c>
      <c r="I26" s="21" t="n">
        <v>30</v>
      </c>
      <c r="J26" s="20" t="n">
        <v>10</v>
      </c>
      <c r="K26" s="46" t="str">
        <f aca="false">C6</f>
        <v>Escort</v>
      </c>
      <c r="L26" s="20" t="n">
        <f aca="false">E6</f>
        <v>3</v>
      </c>
      <c r="M26" s="47" t="s">
        <v>49</v>
      </c>
      <c r="N26" s="46" t="n">
        <v>5</v>
      </c>
      <c r="O26" s="46" t="s">
        <v>31</v>
      </c>
      <c r="P26" s="46" t="s">
        <v>43</v>
      </c>
      <c r="Q26" s="46" t="n">
        <v>6</v>
      </c>
      <c r="R26" s="48" t="s">
        <v>33</v>
      </c>
      <c r="S26" s="46" t="n">
        <v>20</v>
      </c>
      <c r="T26" s="46" t="n">
        <v>3</v>
      </c>
      <c r="U26" s="41" t="s">
        <v>33</v>
      </c>
    </row>
    <row r="27" customFormat="false" ht="13.8" hidden="false" customHeight="true" outlineLevel="0" collapsed="false">
      <c r="B27" s="17"/>
      <c r="C27" s="17"/>
      <c r="D27" s="17"/>
      <c r="E27" s="39"/>
      <c r="F27" s="17"/>
      <c r="G27" s="39"/>
      <c r="H27" s="17"/>
      <c r="I27" s="21"/>
      <c r="J27" s="37" t="n">
        <v>2</v>
      </c>
      <c r="K27" s="49" t="str">
        <f aca="false">C7</f>
        <v>Cruiser</v>
      </c>
      <c r="L27" s="37" t="n">
        <f aca="false">E7</f>
        <v>8</v>
      </c>
      <c r="M27" s="50" t="s">
        <v>49</v>
      </c>
      <c r="N27" s="50" t="n">
        <v>5</v>
      </c>
      <c r="O27" s="50" t="s">
        <v>31</v>
      </c>
      <c r="P27" s="50" t="s">
        <v>43</v>
      </c>
      <c r="Q27" s="50" t="n">
        <v>6</v>
      </c>
      <c r="R27" s="51" t="s">
        <v>39</v>
      </c>
      <c r="S27" s="52" t="n">
        <v>30</v>
      </c>
      <c r="T27" s="50" t="n">
        <v>5</v>
      </c>
      <c r="U27" s="53" t="s">
        <v>51</v>
      </c>
    </row>
    <row r="28" customFormat="false" ht="13.8" hidden="false" customHeight="true" outlineLevel="0" collapsed="false">
      <c r="B28" s="17"/>
      <c r="C28" s="17"/>
      <c r="D28" s="17"/>
      <c r="E28" s="39"/>
      <c r="F28" s="17"/>
      <c r="G28" s="39"/>
      <c r="H28" s="17"/>
      <c r="I28" s="21"/>
      <c r="J28" s="37" t="n">
        <v>2</v>
      </c>
      <c r="K28" s="49" t="str">
        <f aca="false">C10</f>
        <v>Battle Cruiser</v>
      </c>
      <c r="L28" s="37" t="n">
        <f aca="false">E10</f>
        <v>10</v>
      </c>
      <c r="M28" s="50" t="s">
        <v>49</v>
      </c>
      <c r="N28" s="54" t="n">
        <v>5</v>
      </c>
      <c r="O28" s="54" t="s">
        <v>31</v>
      </c>
      <c r="P28" s="54" t="s">
        <v>43</v>
      </c>
      <c r="Q28" s="54" t="n">
        <v>6</v>
      </c>
      <c r="R28" s="51" t="s">
        <v>44</v>
      </c>
      <c r="S28" s="52" t="n">
        <v>30</v>
      </c>
      <c r="T28" s="52" t="n">
        <v>2</v>
      </c>
      <c r="U28" s="53" t="s">
        <v>51</v>
      </c>
    </row>
    <row r="29" customFormat="false" ht="13.8" hidden="false" customHeight="true" outlineLevel="0" collapsed="false">
      <c r="B29" s="17"/>
      <c r="C29" s="17"/>
      <c r="D29" s="17"/>
      <c r="E29" s="39"/>
      <c r="F29" s="17"/>
      <c r="G29" s="39"/>
      <c r="H29" s="17"/>
      <c r="I29" s="21"/>
      <c r="J29" s="37" t="n">
        <v>3</v>
      </c>
      <c r="K29" s="49" t="str">
        <f aca="false">C3</f>
        <v>Cannon Turret</v>
      </c>
      <c r="L29" s="37" t="n">
        <f aca="false">E3</f>
        <v>2</v>
      </c>
      <c r="M29" s="50" t="s">
        <v>49</v>
      </c>
      <c r="N29" s="50" t="n">
        <v>5</v>
      </c>
      <c r="O29" s="50" t="s">
        <v>31</v>
      </c>
      <c r="P29" s="50" t="s">
        <v>43</v>
      </c>
      <c r="Q29" s="50" t="n">
        <v>6</v>
      </c>
      <c r="R29" s="51" t="s">
        <v>54</v>
      </c>
      <c r="S29" s="49" t="n">
        <v>60</v>
      </c>
      <c r="T29" s="49" t="n">
        <v>1</v>
      </c>
      <c r="U29" s="53" t="s">
        <v>51</v>
      </c>
    </row>
    <row r="30" customFormat="false" ht="13.8" hidden="false" customHeight="true" outlineLevel="0" collapsed="false">
      <c r="B30" s="17"/>
      <c r="C30" s="17"/>
      <c r="D30" s="17"/>
      <c r="E30" s="39"/>
      <c r="F30" s="17"/>
      <c r="G30" s="39"/>
      <c r="H30" s="17"/>
      <c r="I30" s="21"/>
      <c r="J30" s="37" t="n">
        <v>3</v>
      </c>
      <c r="K30" s="49" t="str">
        <f aca="false">C9</f>
        <v>Missile Turret</v>
      </c>
      <c r="L30" s="37" t="n">
        <f aca="false">E9</f>
        <v>5</v>
      </c>
      <c r="M30" s="50" t="s">
        <v>41</v>
      </c>
      <c r="N30" s="50" t="n">
        <v>3</v>
      </c>
      <c r="O30" s="52" t="s">
        <v>31</v>
      </c>
      <c r="P30" s="50" t="s">
        <v>43</v>
      </c>
      <c r="Q30" s="50" t="n">
        <v>4</v>
      </c>
      <c r="R30" s="51"/>
      <c r="S30" s="49"/>
      <c r="T30" s="49"/>
      <c r="U30" s="53"/>
    </row>
    <row r="31" customFormat="false" ht="13.8" hidden="false" customHeight="true" outlineLevel="0" collapsed="false">
      <c r="B31" s="17"/>
      <c r="C31" s="17"/>
      <c r="D31" s="17"/>
      <c r="E31" s="39"/>
      <c r="F31" s="17"/>
      <c r="G31" s="39"/>
      <c r="H31" s="17"/>
      <c r="I31" s="21"/>
      <c r="J31" s="37" t="s">
        <v>38</v>
      </c>
      <c r="K31" s="49" t="s">
        <v>35</v>
      </c>
      <c r="L31" s="37" t="s">
        <v>35</v>
      </c>
      <c r="M31" s="50" t="s">
        <v>41</v>
      </c>
      <c r="N31" s="50" t="n">
        <v>3</v>
      </c>
      <c r="O31" s="52" t="s">
        <v>31</v>
      </c>
      <c r="P31" s="50" t="s">
        <v>43</v>
      </c>
      <c r="Q31" s="50" t="n">
        <v>4</v>
      </c>
      <c r="R31" s="51"/>
      <c r="S31" s="49"/>
      <c r="T31" s="49"/>
      <c r="U31" s="53"/>
    </row>
    <row r="32" customFormat="false" ht="13.8" hidden="false" customHeight="true" outlineLevel="0" collapsed="false">
      <c r="B32" s="17"/>
      <c r="C32" s="17"/>
      <c r="D32" s="17"/>
      <c r="E32" s="39"/>
      <c r="F32" s="17"/>
      <c r="G32" s="39"/>
      <c r="H32" s="17"/>
      <c r="I32" s="21"/>
      <c r="J32" s="37" t="s">
        <v>38</v>
      </c>
      <c r="K32" s="49" t="s">
        <v>35</v>
      </c>
      <c r="L32" s="37" t="s">
        <v>35</v>
      </c>
      <c r="M32" s="50" t="s">
        <v>41</v>
      </c>
      <c r="N32" s="50" t="n">
        <v>3</v>
      </c>
      <c r="O32" s="52" t="s">
        <v>31</v>
      </c>
      <c r="P32" s="50" t="s">
        <v>43</v>
      </c>
      <c r="Q32" s="50" t="n">
        <v>4</v>
      </c>
      <c r="R32" s="51"/>
      <c r="S32" s="49"/>
      <c r="T32" s="49"/>
      <c r="U32" s="53"/>
    </row>
    <row r="33" customFormat="false" ht="13.8" hidden="false" customHeight="true" outlineLevel="0" collapsed="false">
      <c r="B33" s="17"/>
      <c r="C33" s="17"/>
      <c r="D33" s="17"/>
      <c r="E33" s="39"/>
      <c r="F33" s="17"/>
      <c r="G33" s="39"/>
      <c r="H33" s="17"/>
      <c r="I33" s="21"/>
      <c r="J33" s="37" t="s">
        <v>38</v>
      </c>
      <c r="K33" s="49" t="s">
        <v>35</v>
      </c>
      <c r="L33" s="37" t="s">
        <v>35</v>
      </c>
      <c r="M33" s="50" t="s">
        <v>41</v>
      </c>
      <c r="N33" s="50" t="n">
        <v>3</v>
      </c>
      <c r="O33" s="52" t="s">
        <v>31</v>
      </c>
      <c r="P33" s="50" t="s">
        <v>43</v>
      </c>
      <c r="Q33" s="50" t="n">
        <v>4</v>
      </c>
      <c r="R33" s="51"/>
      <c r="S33" s="49"/>
      <c r="T33" s="49"/>
      <c r="U33" s="53"/>
    </row>
    <row r="34" customFormat="false" ht="13.8" hidden="false" customHeight="true" outlineLevel="0" collapsed="false">
      <c r="B34" s="17"/>
      <c r="C34" s="17"/>
      <c r="D34" s="17"/>
      <c r="E34" s="39"/>
      <c r="F34" s="17"/>
      <c r="G34" s="39"/>
      <c r="H34" s="17"/>
      <c r="I34" s="21"/>
      <c r="J34" s="37" t="s">
        <v>38</v>
      </c>
      <c r="K34" s="49" t="s">
        <v>35</v>
      </c>
      <c r="L34" s="37" t="s">
        <v>35</v>
      </c>
      <c r="M34" s="50" t="s">
        <v>30</v>
      </c>
      <c r="N34" s="50" t="n">
        <v>1</v>
      </c>
      <c r="O34" s="50" t="s">
        <v>31</v>
      </c>
      <c r="P34" s="50" t="s">
        <v>32</v>
      </c>
      <c r="Q34" s="50" t="n">
        <v>2</v>
      </c>
      <c r="R34" s="51"/>
      <c r="S34" s="49"/>
      <c r="T34" s="49"/>
      <c r="U34" s="53"/>
    </row>
    <row r="35" customFormat="false" ht="13.8" hidden="false" customHeight="true" outlineLevel="0" collapsed="false">
      <c r="B35" s="17"/>
      <c r="C35" s="17"/>
      <c r="D35" s="17"/>
      <c r="E35" s="39"/>
      <c r="F35" s="17"/>
      <c r="G35" s="39"/>
      <c r="H35" s="17"/>
      <c r="I35" s="21"/>
      <c r="J35" s="37" t="s">
        <v>38</v>
      </c>
      <c r="K35" s="49" t="s">
        <v>35</v>
      </c>
      <c r="L35" s="37" t="s">
        <v>35</v>
      </c>
      <c r="M35" s="50" t="s">
        <v>30</v>
      </c>
      <c r="N35" s="54" t="n">
        <v>1</v>
      </c>
      <c r="O35" s="54" t="s">
        <v>31</v>
      </c>
      <c r="P35" s="54" t="s">
        <v>32</v>
      </c>
      <c r="Q35" s="54" t="n">
        <v>2</v>
      </c>
      <c r="R35" s="51"/>
      <c r="S35" s="49"/>
      <c r="T35" s="49"/>
      <c r="U35" s="53"/>
    </row>
    <row r="36" customFormat="false" ht="13.8" hidden="false" customHeight="true" outlineLevel="0" collapsed="false">
      <c r="B36" s="17"/>
      <c r="C36" s="17"/>
      <c r="D36" s="17"/>
      <c r="E36" s="39"/>
      <c r="F36" s="17"/>
      <c r="G36" s="39"/>
      <c r="H36" s="17"/>
      <c r="I36" s="21"/>
      <c r="J36" s="37" t="s">
        <v>38</v>
      </c>
      <c r="K36" s="49" t="s">
        <v>35</v>
      </c>
      <c r="L36" s="37" t="s">
        <v>35</v>
      </c>
      <c r="M36" s="50" t="s">
        <v>30</v>
      </c>
      <c r="N36" s="50" t="n">
        <v>1</v>
      </c>
      <c r="O36" s="50" t="s">
        <v>31</v>
      </c>
      <c r="P36" s="50" t="s">
        <v>32</v>
      </c>
      <c r="Q36" s="50" t="n">
        <v>2</v>
      </c>
      <c r="R36" s="51"/>
      <c r="S36" s="49"/>
      <c r="T36" s="49"/>
      <c r="U36" s="53"/>
    </row>
    <row r="37" customFormat="false" ht="13.8" hidden="false" customHeight="true" outlineLevel="0" collapsed="false">
      <c r="B37" s="17"/>
      <c r="C37" s="17"/>
      <c r="D37" s="17"/>
      <c r="E37" s="39"/>
      <c r="F37" s="17"/>
      <c r="G37" s="39"/>
      <c r="H37" s="17"/>
      <c r="I37" s="21"/>
      <c r="J37" s="55" t="s">
        <v>35</v>
      </c>
      <c r="K37" s="56" t="s">
        <v>35</v>
      </c>
      <c r="L37" s="55" t="s">
        <v>35</v>
      </c>
      <c r="M37" s="56" t="s">
        <v>30</v>
      </c>
      <c r="N37" s="57" t="n">
        <v>1</v>
      </c>
      <c r="O37" s="57" t="s">
        <v>31</v>
      </c>
      <c r="P37" s="57" t="s">
        <v>32</v>
      </c>
      <c r="Q37" s="57" t="n">
        <v>2</v>
      </c>
      <c r="R37" s="58"/>
      <c r="S37" s="56"/>
      <c r="T37" s="56"/>
      <c r="U37" s="59"/>
    </row>
    <row r="38" customFormat="false" ht="13.8" hidden="false" customHeight="true" outlineLevel="0" collapsed="false">
      <c r="M38" s="35"/>
    </row>
    <row r="39" customFormat="false" ht="13.8" hidden="false" customHeight="true" outlineLevel="0" collapsed="false">
      <c r="M39" s="35"/>
    </row>
    <row r="1048576" customFormat="false" ht="12.8" hidden="false" customHeight="true" outlineLevel="0" collapsed="false"/>
  </sheetData>
  <mergeCells count="69"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Q1"/>
    <mergeCell ref="R1:T1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B10:B13"/>
    <mergeCell ref="C10:C13"/>
    <mergeCell ref="D10:D13"/>
    <mergeCell ref="E10:E13"/>
    <mergeCell ref="F10:F13"/>
    <mergeCell ref="G10:G13"/>
    <mergeCell ref="H10:H13"/>
    <mergeCell ref="I10:I13"/>
    <mergeCell ref="R10:R13"/>
    <mergeCell ref="S10:S13"/>
    <mergeCell ref="T10:T13"/>
    <mergeCell ref="U10:U13"/>
    <mergeCell ref="B14:B19"/>
    <mergeCell ref="C14:C19"/>
    <mergeCell ref="D14:D19"/>
    <mergeCell ref="E14:E19"/>
    <mergeCell ref="F14:F19"/>
    <mergeCell ref="G14:G19"/>
    <mergeCell ref="H14:H19"/>
    <mergeCell ref="I14:I19"/>
    <mergeCell ref="B20:B25"/>
    <mergeCell ref="C20:C25"/>
    <mergeCell ref="D20:D25"/>
    <mergeCell ref="E20:E25"/>
    <mergeCell ref="F20:F25"/>
    <mergeCell ref="G20:G25"/>
    <mergeCell ref="H20:H25"/>
    <mergeCell ref="I20:I25"/>
    <mergeCell ref="B26:B37"/>
    <mergeCell ref="C26:C37"/>
    <mergeCell ref="D26:D37"/>
    <mergeCell ref="E26:E37"/>
    <mergeCell ref="F26:F37"/>
    <mergeCell ref="G26:G37"/>
    <mergeCell ref="H26:H37"/>
    <mergeCell ref="I26:I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sheetData>
    <row r="3" customFormat="false" ht="12.8" hidden="false" customHeight="false" outlineLevel="0" collapsed="false">
      <c r="A3" s="0" t="s">
        <v>55</v>
      </c>
    </row>
    <row r="6" customFormat="false" ht="12.8" hidden="false" customHeight="false" outlineLevel="0" collapsed="false">
      <c r="A6" s="0" t="s">
        <v>56</v>
      </c>
    </row>
    <row r="9" customFormat="false" ht="12.8" hidden="false" customHeight="false" outlineLevel="0" collapsed="false">
      <c r="A9" s="0" t="s">
        <v>57</v>
      </c>
    </row>
    <row r="12" customFormat="false" ht="13.8" hidden="false" customHeight="false" outlineLevel="0" collapsed="false">
      <c r="A12" s="60" t="s">
        <v>46</v>
      </c>
      <c r="B12" s="60"/>
      <c r="C12" s="60"/>
      <c r="D12" s="60"/>
      <c r="E12" s="60"/>
      <c r="F12" s="60"/>
    </row>
    <row r="13" customFormat="false" ht="13.8" hidden="false" customHeight="false" outlineLevel="0" collapsed="false">
      <c r="A13" s="61" t="s">
        <v>58</v>
      </c>
      <c r="B13" s="62" t="n">
        <v>1</v>
      </c>
      <c r="C13" s="62" t="n">
        <v>2</v>
      </c>
      <c r="D13" s="62" t="n">
        <v>3</v>
      </c>
      <c r="E13" s="62" t="n">
        <v>4</v>
      </c>
      <c r="F13" s="62" t="n">
        <v>5</v>
      </c>
    </row>
    <row r="14" customFormat="false" ht="13.8" hidden="false" customHeight="false" outlineLevel="0" collapsed="false">
      <c r="A14" s="61" t="s">
        <v>20</v>
      </c>
      <c r="B14" s="62" t="n">
        <v>20</v>
      </c>
      <c r="C14" s="62" t="n">
        <v>35</v>
      </c>
      <c r="D14" s="62" t="n">
        <v>50</v>
      </c>
      <c r="E14" s="62" t="n">
        <v>65</v>
      </c>
      <c r="F14" s="62" t="n">
        <v>80</v>
      </c>
    </row>
    <row r="15" customFormat="false" ht="13.8" hidden="false" customHeight="false" outlineLevel="0" collapsed="false">
      <c r="A15" s="61" t="s">
        <v>23</v>
      </c>
      <c r="B15" s="62" t="n">
        <v>5</v>
      </c>
      <c r="C15" s="62" t="s">
        <v>59</v>
      </c>
      <c r="D15" s="62" t="n">
        <v>6</v>
      </c>
      <c r="E15" s="62" t="s">
        <v>60</v>
      </c>
      <c r="F15" s="62" t="n">
        <v>7</v>
      </c>
    </row>
    <row r="16" customFormat="false" ht="13.8" hidden="false" customHeight="false" outlineLevel="0" collapsed="false">
      <c r="A16" s="61" t="s">
        <v>61</v>
      </c>
      <c r="B16" s="62" t="n">
        <v>1</v>
      </c>
      <c r="C16" s="62" t="n">
        <v>2</v>
      </c>
      <c r="D16" s="62" t="n">
        <v>3</v>
      </c>
      <c r="E16" s="62" t="n">
        <v>4</v>
      </c>
      <c r="F16" s="62" t="n">
        <v>5</v>
      </c>
    </row>
    <row r="17" customFormat="false" ht="13.8" hidden="false" customHeight="false" outlineLevel="0" collapsed="false">
      <c r="A17" s="61" t="s">
        <v>62</v>
      </c>
      <c r="B17" s="62" t="n">
        <v>5</v>
      </c>
      <c r="C17" s="62" t="s">
        <v>63</v>
      </c>
      <c r="D17" s="62" t="n">
        <v>4</v>
      </c>
      <c r="E17" s="62" t="s">
        <v>64</v>
      </c>
      <c r="F17" s="62" t="n">
        <v>3</v>
      </c>
    </row>
    <row r="18" customFormat="false" ht="13.8" hidden="false" customHeight="false" outlineLevel="0" collapsed="false">
      <c r="B18" s="62"/>
      <c r="C18" s="62"/>
      <c r="D18" s="62"/>
      <c r="E18" s="62"/>
      <c r="F18" s="62"/>
    </row>
  </sheetData>
  <mergeCells count="1">
    <mergeCell ref="A12:F1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Anwender</dc:creator>
  <dc:description/>
  <dc:language>de-DE</dc:language>
  <cp:lastModifiedBy/>
  <dcterms:modified xsi:type="dcterms:W3CDTF">2026-08-28T23:12:09Z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